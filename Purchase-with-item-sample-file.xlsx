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035"/>
  </bookViews>
  <sheets>
    <sheet name="Sheet1" sheetId="1" r:id="rId1"/>
  </sheets>
  <definedNames>
    <definedName name="_xlnm._FilterDatabase" localSheetId="0" hidden="1">Sheet1!$C$1:$W$51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6" i="1" l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I39" i="1"/>
  <c r="J2" i="1"/>
  <c r="N2" i="1" l="1"/>
</calcChain>
</file>

<file path=xl/sharedStrings.xml><?xml version="1.0" encoding="utf-8"?>
<sst xmlns="http://schemas.openxmlformats.org/spreadsheetml/2006/main" count="399" uniqueCount="149">
  <si>
    <t>CGST</t>
  </si>
  <si>
    <t>SGST</t>
  </si>
  <si>
    <t>GST NO</t>
  </si>
  <si>
    <t>PARTY A/C NAME</t>
  </si>
  <si>
    <t>PLACE OF SUPPLY</t>
  </si>
  <si>
    <t>IGST</t>
  </si>
  <si>
    <t>SUPPLIER INV NO</t>
  </si>
  <si>
    <t>INVOICE DATE</t>
  </si>
  <si>
    <t>NAME OF ITEM</t>
  </si>
  <si>
    <t>RATE</t>
  </si>
  <si>
    <t>QUANTITY</t>
  </si>
  <si>
    <t>AMOUNT</t>
  </si>
  <si>
    <t>TOTAL AMOUNT</t>
  </si>
  <si>
    <t>PURCHASE LEDGER</t>
  </si>
  <si>
    <t>RV/25-26/2440</t>
  </si>
  <si>
    <t>02/02/2026</t>
  </si>
  <si>
    <t>09ABAFA2793F1ZI</t>
  </si>
  <si>
    <t>AARVEE INTERNATIONAL</t>
  </si>
  <si>
    <t>Uttar Pradesh</t>
  </si>
  <si>
    <t>IGST/25-26/02838</t>
  </si>
  <si>
    <t>07ANHPG8334K1ZR</t>
  </si>
  <si>
    <t>AMIT FASTENERS</t>
  </si>
  <si>
    <t>Delhi</t>
  </si>
  <si>
    <t>2025-26/103</t>
  </si>
  <si>
    <t>09FYAPS0166L1ZZ</t>
  </si>
  <si>
    <t>HD PRINTING</t>
  </si>
  <si>
    <t>3M/25-26/135</t>
  </si>
  <si>
    <t>07AAVFP5521G1ZY</t>
  </si>
  <si>
    <t>P.S. ACCESSORIES</t>
  </si>
  <si>
    <t>353</t>
  </si>
  <si>
    <t>03/02/2026</t>
  </si>
  <si>
    <t>09AATPS5991B1Z0</t>
  </si>
  <si>
    <t>HARGOVIND CREATIONS</t>
  </si>
  <si>
    <t>351</t>
  </si>
  <si>
    <t>347</t>
  </si>
  <si>
    <t>3117/25-26</t>
  </si>
  <si>
    <t>09ADJPJ0355K1ZE</t>
  </si>
  <si>
    <t>KHEM CHAND JAIN</t>
  </si>
  <si>
    <t>1262</t>
  </si>
  <si>
    <t>07AAQPM8883P1ZF</t>
  </si>
  <si>
    <t>MITTAL ENTERPRISES</t>
  </si>
  <si>
    <t>A-124586</t>
  </si>
  <si>
    <t>07AAPFS4931D1Z3</t>
  </si>
  <si>
    <t>SAHNI FABS</t>
  </si>
  <si>
    <t>B-62184</t>
  </si>
  <si>
    <t>A-124591</t>
  </si>
  <si>
    <t>352</t>
  </si>
  <si>
    <t>07AALPJ6309E1ZT</t>
  </si>
  <si>
    <t>SHREE AADINATH TEXTILES</t>
  </si>
  <si>
    <t>INV/DP/25/013756</t>
  </si>
  <si>
    <t>07AAJCA6204C1Z5</t>
  </si>
  <si>
    <t>TESSUTI (AJAY GOEL TEXTILES PVT LTD)</t>
  </si>
  <si>
    <t>LE/25-26/11985</t>
  </si>
  <si>
    <t>04/02/2026</t>
  </si>
  <si>
    <t>09AABHN1542B1ZP</t>
  </si>
  <si>
    <t>LEELA EXPO FAB</t>
  </si>
  <si>
    <t>3M/25-26/138</t>
  </si>
  <si>
    <t>4627</t>
  </si>
  <si>
    <t>09ACQPN0893E1Z7</t>
  </si>
  <si>
    <t>WINRA PROCESSORS</t>
  </si>
  <si>
    <t>KC4/02-26/010340</t>
  </si>
  <si>
    <t>05/02/2026</t>
  </si>
  <si>
    <t>07AAICK7230R1ZX</t>
  </si>
  <si>
    <t>K.C. CREATIONS FABRICS PVT LTD</t>
  </si>
  <si>
    <t>3921</t>
  </si>
  <si>
    <t>06/02/2026</t>
  </si>
  <si>
    <t>09AAIFG4214E1ZO</t>
  </si>
  <si>
    <t>GOPAL JEE FABRICS</t>
  </si>
  <si>
    <t>AM/3760/25-26</t>
  </si>
  <si>
    <t>10/02/2026</t>
  </si>
  <si>
    <t>09AAUCA1310L1ZI</t>
  </si>
  <si>
    <t>AMAAYRA TEXTILE PVT LTD</t>
  </si>
  <si>
    <t>3967</t>
  </si>
  <si>
    <t>KC4/02-26/010892</t>
  </si>
  <si>
    <t>KC4/02-26/011111</t>
  </si>
  <si>
    <t>11/02/2026</t>
  </si>
  <si>
    <t>6927</t>
  </si>
  <si>
    <t>13/02/2026</t>
  </si>
  <si>
    <t>07ACHPN1925A1Z1</t>
  </si>
  <si>
    <t>NARANG THREADS</t>
  </si>
  <si>
    <t>X-04008</t>
  </si>
  <si>
    <t>16/02/2026</t>
  </si>
  <si>
    <t>AM/3868/25-26</t>
  </si>
  <si>
    <t>17/02/2026</t>
  </si>
  <si>
    <t>MHPLD25-26/501</t>
  </si>
  <si>
    <t>07AASCM9995K1Z7</t>
  </si>
  <si>
    <t>MITTAL HOSIERY PRIVATE LIMITED</t>
  </si>
  <si>
    <t>322</t>
  </si>
  <si>
    <t>06HMZPK8847R1ZE</t>
  </si>
  <si>
    <t>SRISHTI IMPEX</t>
  </si>
  <si>
    <t>Haryana</t>
  </si>
  <si>
    <t>4049</t>
  </si>
  <si>
    <t>18/02/2026</t>
  </si>
  <si>
    <t>2211</t>
  </si>
  <si>
    <t>09AAECS2496P1ZJ</t>
  </si>
  <si>
    <t>STERLING CREATIONS PVT LTD</t>
  </si>
  <si>
    <t>4067</t>
  </si>
  <si>
    <t>19/02/2026</t>
  </si>
  <si>
    <t>057</t>
  </si>
  <si>
    <t>09AFQPT8766H1ZD</t>
  </si>
  <si>
    <t>HARI OM PRINT ENTERPRISES</t>
  </si>
  <si>
    <t>4659</t>
  </si>
  <si>
    <t>357</t>
  </si>
  <si>
    <t>07/02/2026</t>
  </si>
  <si>
    <t>358</t>
  </si>
  <si>
    <t>359</t>
  </si>
  <si>
    <t>MT/25-26/11112</t>
  </si>
  <si>
    <t>08/02/2026</t>
  </si>
  <si>
    <t>07ADAPJ5924D1ZX</t>
  </si>
  <si>
    <t>MITTAL TRADERS</t>
  </si>
  <si>
    <t>RV/25-26/2504</t>
  </si>
  <si>
    <t>GST/25-26/3503</t>
  </si>
  <si>
    <t>07AIMPB9060B1ZJ</t>
  </si>
  <si>
    <t>GREY TREE FY 25-26</t>
  </si>
  <si>
    <t>362</t>
  </si>
  <si>
    <t>056</t>
  </si>
  <si>
    <t>KF/08501/25/26</t>
  </si>
  <si>
    <t>07AABCK4674N1Z2</t>
  </si>
  <si>
    <t>KUKU FASHION PVT LTD</t>
  </si>
  <si>
    <t>9273</t>
  </si>
  <si>
    <t>07BVRPV0627D1ZC</t>
  </si>
  <si>
    <t>SKY ENTERPRISES</t>
  </si>
  <si>
    <t>ZED/25-26/2241</t>
  </si>
  <si>
    <t>07AAJPA8744J1ZI</t>
  </si>
  <si>
    <t>ZED ZIPPERS</t>
  </si>
  <si>
    <t>BF/0463</t>
  </si>
  <si>
    <t>12/02/2026</t>
  </si>
  <si>
    <t>07AIDPA0295L1Z7</t>
  </si>
  <si>
    <t>BINAISHA FABRICS</t>
  </si>
  <si>
    <t>577</t>
  </si>
  <si>
    <t>09ABVFA4258J1ZS</t>
  </si>
  <si>
    <t>ANHIDA TECHNOLOGIES</t>
  </si>
  <si>
    <t>CN-446</t>
  </si>
  <si>
    <t>14/02/2026</t>
  </si>
  <si>
    <t>MT/25-26/11281</t>
  </si>
  <si>
    <t>A-125183</t>
  </si>
  <si>
    <t>2025-26/08366</t>
  </si>
  <si>
    <t>07AAEFB8560E1ZK</t>
  </si>
  <si>
    <t>BOMBAY BEADS CENTRE</t>
  </si>
  <si>
    <t>356</t>
  </si>
  <si>
    <t>134/2026-27</t>
  </si>
  <si>
    <t>07BNAPM2782F1Z2</t>
  </si>
  <si>
    <t>YASHMOON DIGITAL PRINT</t>
  </si>
  <si>
    <t>3929</t>
  </si>
  <si>
    <t>16836</t>
  </si>
  <si>
    <t>07AJEPD2718D1ZS</t>
  </si>
  <si>
    <t>H.S.A. FABRICS</t>
  </si>
  <si>
    <t>Purchase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</si>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</sst>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/mm\/yyyy"/>
  </numFmts>
  <fonts count="3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34"/>
      </patternFill>
    </fill>
    <fill>
      <patternFill patternType="solid">
        <fgColor rgb="FFFF0000"/>
        <bgColor indexed="3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vertical="center" wrapText="1"/>
    </xf>
    <xf numFmtId="2" fontId="1" fillId="2" borderId="2" xfId="0" applyNumberFormat="1" applyFont="1" applyFill="1" applyBorder="1" applyAlignment="1" applyProtection="1">
      <alignment vertical="center" wrapText="1"/>
    </xf>
    <xf numFmtId="2" fontId="0" fillId="0" borderId="0" xfId="0" applyNumberFormat="1"/>
    <xf numFmtId="0" fontId="1" fillId="2" borderId="3" xfId="0" applyFont="1" applyFill="1" applyBorder="1" applyAlignment="1" applyProtection="1">
      <alignment horizontal="center" vertical="center" wrapText="1"/>
    </xf>
    <xf numFmtId="0" fontId="0" fillId="0" borderId="0" xfId="0" applyFont="1"/>
    <xf numFmtId="164" fontId="0" fillId="0" borderId="0" xfId="0" applyNumberFormat="1"/>
    <xf numFmtId="0" fontId="2" fillId="0" borderId="0" xfId="0" applyFont="1"/>
    <xf numFmtId="0" fontId="1" fillId="3" borderId="2" xfId="0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6"/>
  <sheetViews>
    <sheetView tabSelected="1" workbookViewId="0">
      <selection activeCell="N1" sqref="N1"/>
    </sheetView>
  </sheetViews>
  <sheetFormatPr defaultRowHeight="15" x14ac:dyDescent="0.25"/>
  <cols>
    <col min="1" max="1" width="17.5703125" bestFit="1" customWidth="1"/>
    <col min="2" max="2" width="12.28515625" style="7" bestFit="1" customWidth="1"/>
    <col min="3" max="3" width="17.5703125" bestFit="1" customWidth="1"/>
    <col min="4" max="4" width="14.85546875" bestFit="1" customWidth="1"/>
    <col min="5" max="5" width="16.140625" bestFit="1" customWidth="1"/>
    <col min="6" max="6" width="17.7109375" style="5" customWidth="1"/>
    <col min="7" max="7" width="12.5703125" bestFit="1" customWidth="1"/>
    <col min="8" max="8" width="9.140625" bestFit="1" customWidth="1"/>
    <col min="9" max="9" width="5.28515625" style="5" bestFit="1" customWidth="1"/>
    <col min="10" max="10" width="8.140625" bestFit="1" customWidth="1"/>
    <col min="11" max="12" width="5.42578125" bestFit="1" customWidth="1"/>
    <col min="13" max="13" width="4.7109375" bestFit="1" customWidth="1"/>
    <col min="14" max="14" width="14.140625" bestFit="1" customWidth="1"/>
    <col min="16" max="17" width="9.5703125" bestFit="1" customWidth="1"/>
    <col min="18" max="18" width="18.42578125" bestFit="1" customWidth="1"/>
    <col min="19" max="19" width="23.28515625" bestFit="1" customWidth="1"/>
  </cols>
  <sheetData>
    <row r="1" spans="1:23" ht="29.25" customHeight="1" x14ac:dyDescent="0.25">
      <c r="A1" s="8" t="s">
        <v>6</v>
      </c>
      <c r="B1" s="8" t="s">
        <v>7</v>
      </c>
      <c r="C1" s="1" t="s">
        <v>2</v>
      </c>
      <c r="D1" s="8" t="s">
        <v>3</v>
      </c>
      <c r="E1" s="8" t="s">
        <v>4</v>
      </c>
      <c r="F1" s="8" t="s">
        <v>13</v>
      </c>
      <c r="G1" s="8" t="s">
        <v>8</v>
      </c>
      <c r="H1" s="8" t="s">
        <v>10</v>
      </c>
      <c r="I1" s="8" t="s">
        <v>9</v>
      </c>
      <c r="J1" s="4" t="s">
        <v>11</v>
      </c>
      <c r="K1" s="2" t="s">
        <v>1</v>
      </c>
      <c r="L1" s="2" t="s">
        <v>0</v>
      </c>
      <c r="M1" s="2" t="s">
        <v>5</v>
      </c>
      <c r="N1" s="2" t="s">
        <v>12</v>
      </c>
    </row>
    <row r="2" spans="1:23" x14ac:dyDescent="0.25">
      <c r="A2" t="s">
        <v>14</v>
      </c>
      <c r="B2" s="6" t="s">
        <v>15</v>
      </c>
      <c r="C2" t="s">
        <v>16</v>
      </c>
      <c r="D2" t="s">
        <v>17</v>
      </c>
      <c r="E2" t="s">
        <v>18</v>
      </c>
      <c r="F2" s="5" t="s">
        <v>147</v>
      </c>
      <c r="G2" t="s">
        <v>148</v>
      </c>
      <c r="H2">
        <v>1</v>
      </c>
      <c r="I2">
        <v>7100</v>
      </c>
      <c r="J2">
        <f>5400+1700</f>
        <v>7100</v>
      </c>
      <c r="K2">
        <v>288</v>
      </c>
      <c r="L2" s="3">
        <v>288</v>
      </c>
      <c r="M2">
        <v>0</v>
      </c>
      <c r="N2" s="3">
        <f>SUM(J2+K2+L2+M2)</f>
        <v>7676</v>
      </c>
    </row>
    <row r="3" spans="1:23" x14ac:dyDescent="0.25">
      <c r="A3" t="s">
        <v>19</v>
      </c>
      <c r="B3" s="6" t="s">
        <v>15</v>
      </c>
      <c r="C3" t="s">
        <v>20</v>
      </c>
      <c r="D3" t="s">
        <v>21</v>
      </c>
      <c r="E3" t="s">
        <v>22</v>
      </c>
      <c r="F3" s="5" t="s">
        <v>147</v>
      </c>
      <c r="G3" t="s">
        <v>148</v>
      </c>
      <c r="H3">
        <v>1</v>
      </c>
      <c r="I3">
        <v>1652</v>
      </c>
      <c r="J3">
        <v>1652</v>
      </c>
      <c r="K3">
        <v>0</v>
      </c>
      <c r="L3" s="3">
        <v>0</v>
      </c>
      <c r="M3">
        <v>82.6</v>
      </c>
      <c r="N3" s="3">
        <f t="shared" ref="N3:N56" si="0">SUM(J3+K3+L3+M3)</f>
        <v>1734.6</v>
      </c>
      <c r="W3" s="3"/>
    </row>
    <row r="4" spans="1:23" x14ac:dyDescent="0.25">
      <c r="A4" t="s">
        <v>23</v>
      </c>
      <c r="B4" s="6" t="s">
        <v>15</v>
      </c>
      <c r="C4" t="s">
        <v>24</v>
      </c>
      <c r="D4" t="s">
        <v>25</v>
      </c>
      <c r="E4" t="s">
        <v>18</v>
      </c>
      <c r="F4" s="5" t="s">
        <v>147</v>
      </c>
      <c r="G4" t="s">
        <v>148</v>
      </c>
      <c r="H4">
        <v>1</v>
      </c>
      <c r="I4">
        <v>6000</v>
      </c>
      <c r="J4">
        <v>6000</v>
      </c>
      <c r="K4">
        <v>150</v>
      </c>
      <c r="L4" s="3">
        <v>150</v>
      </c>
      <c r="M4">
        <v>0</v>
      </c>
      <c r="N4" s="3">
        <f t="shared" si="0"/>
        <v>6300</v>
      </c>
      <c r="W4" s="3"/>
    </row>
    <row r="5" spans="1:23" x14ac:dyDescent="0.25">
      <c r="A5" t="s">
        <v>26</v>
      </c>
      <c r="B5" s="6" t="s">
        <v>15</v>
      </c>
      <c r="C5" t="s">
        <v>27</v>
      </c>
      <c r="D5" t="s">
        <v>28</v>
      </c>
      <c r="E5" t="s">
        <v>22</v>
      </c>
      <c r="F5" s="5" t="s">
        <v>147</v>
      </c>
      <c r="G5" t="s">
        <v>148</v>
      </c>
      <c r="H5">
        <v>1</v>
      </c>
      <c r="I5">
        <v>5200</v>
      </c>
      <c r="J5">
        <v>5200</v>
      </c>
      <c r="K5">
        <v>0</v>
      </c>
      <c r="L5" s="3">
        <v>0</v>
      </c>
      <c r="M5">
        <v>260</v>
      </c>
      <c r="N5" s="3">
        <f t="shared" si="0"/>
        <v>5460</v>
      </c>
      <c r="W5" s="3"/>
    </row>
    <row r="6" spans="1:23" x14ac:dyDescent="0.25">
      <c r="A6" t="s">
        <v>29</v>
      </c>
      <c r="B6" s="6" t="s">
        <v>30</v>
      </c>
      <c r="C6" t="s">
        <v>31</v>
      </c>
      <c r="D6" t="s">
        <v>32</v>
      </c>
      <c r="E6" t="s">
        <v>18</v>
      </c>
      <c r="F6" s="5" t="s">
        <v>147</v>
      </c>
      <c r="G6" t="s">
        <v>148</v>
      </c>
      <c r="H6">
        <v>1</v>
      </c>
      <c r="I6">
        <v>450</v>
      </c>
      <c r="J6">
        <v>450</v>
      </c>
      <c r="K6">
        <v>11.25</v>
      </c>
      <c r="L6" s="3">
        <v>11.25</v>
      </c>
      <c r="M6">
        <v>0</v>
      </c>
      <c r="N6" s="3">
        <f t="shared" si="0"/>
        <v>472.5</v>
      </c>
      <c r="W6" s="3"/>
    </row>
    <row r="7" spans="1:23" x14ac:dyDescent="0.25">
      <c r="A7" t="s">
        <v>33</v>
      </c>
      <c r="B7" s="7" t="s">
        <v>30</v>
      </c>
      <c r="C7" t="s">
        <v>31</v>
      </c>
      <c r="D7" t="s">
        <v>32</v>
      </c>
      <c r="E7" t="s">
        <v>18</v>
      </c>
      <c r="F7" s="5" t="s">
        <v>147</v>
      </c>
      <c r="G7" t="s">
        <v>148</v>
      </c>
      <c r="H7">
        <v>1</v>
      </c>
      <c r="I7">
        <v>1500</v>
      </c>
      <c r="J7">
        <v>1500</v>
      </c>
      <c r="K7">
        <v>37.5</v>
      </c>
      <c r="L7" s="3">
        <v>37.5</v>
      </c>
      <c r="M7">
        <v>0</v>
      </c>
      <c r="N7" s="3">
        <f t="shared" si="0"/>
        <v>1575</v>
      </c>
      <c r="P7" s="3"/>
      <c r="W7" s="3"/>
    </row>
    <row r="8" spans="1:23" x14ac:dyDescent="0.25">
      <c r="A8" t="s">
        <v>34</v>
      </c>
      <c r="B8" s="7" t="s">
        <v>30</v>
      </c>
      <c r="C8" t="s">
        <v>31</v>
      </c>
      <c r="D8" t="s">
        <v>32</v>
      </c>
      <c r="E8" t="s">
        <v>18</v>
      </c>
      <c r="F8" s="5" t="s">
        <v>147</v>
      </c>
      <c r="G8" t="s">
        <v>148</v>
      </c>
      <c r="H8">
        <v>1</v>
      </c>
      <c r="I8">
        <v>2000</v>
      </c>
      <c r="J8">
        <v>2000</v>
      </c>
      <c r="K8">
        <v>50</v>
      </c>
      <c r="L8">
        <v>50</v>
      </c>
      <c r="M8">
        <v>0</v>
      </c>
      <c r="N8" s="3">
        <f t="shared" si="0"/>
        <v>2100</v>
      </c>
    </row>
    <row r="9" spans="1:23" x14ac:dyDescent="0.25">
      <c r="A9" t="s">
        <v>35</v>
      </c>
      <c r="B9" s="7" t="s">
        <v>30</v>
      </c>
      <c r="C9" t="s">
        <v>36</v>
      </c>
      <c r="D9" t="s">
        <v>37</v>
      </c>
      <c r="E9" t="s">
        <v>18</v>
      </c>
      <c r="F9" s="5" t="s">
        <v>147</v>
      </c>
      <c r="G9" t="s">
        <v>148</v>
      </c>
      <c r="H9">
        <v>1</v>
      </c>
      <c r="I9">
        <v>1320</v>
      </c>
      <c r="J9">
        <v>1320</v>
      </c>
      <c r="K9">
        <v>33</v>
      </c>
      <c r="L9">
        <v>33</v>
      </c>
      <c r="M9">
        <v>0</v>
      </c>
      <c r="N9" s="3">
        <f t="shared" si="0"/>
        <v>1386</v>
      </c>
    </row>
    <row r="10" spans="1:23" x14ac:dyDescent="0.25">
      <c r="A10" t="s">
        <v>38</v>
      </c>
      <c r="B10" s="7" t="s">
        <v>30</v>
      </c>
      <c r="C10" t="s">
        <v>39</v>
      </c>
      <c r="D10" t="s">
        <v>40</v>
      </c>
      <c r="E10" t="s">
        <v>22</v>
      </c>
      <c r="F10" s="5" t="s">
        <v>147</v>
      </c>
      <c r="G10" t="s">
        <v>148</v>
      </c>
      <c r="H10">
        <v>1</v>
      </c>
      <c r="I10">
        <v>675</v>
      </c>
      <c r="J10">
        <v>675</v>
      </c>
      <c r="K10">
        <v>0</v>
      </c>
      <c r="L10">
        <v>0</v>
      </c>
      <c r="M10">
        <v>33.75</v>
      </c>
      <c r="N10" s="3">
        <f t="shared" si="0"/>
        <v>708.75</v>
      </c>
    </row>
    <row r="11" spans="1:23" x14ac:dyDescent="0.25">
      <c r="A11" t="s">
        <v>41</v>
      </c>
      <c r="B11" s="7" t="s">
        <v>30</v>
      </c>
      <c r="C11" t="s">
        <v>42</v>
      </c>
      <c r="D11" t="s">
        <v>43</v>
      </c>
      <c r="E11" t="s">
        <v>22</v>
      </c>
      <c r="F11" s="5" t="s">
        <v>147</v>
      </c>
      <c r="G11" t="s">
        <v>148</v>
      </c>
      <c r="H11">
        <v>1</v>
      </c>
      <c r="I11">
        <v>1750</v>
      </c>
      <c r="J11">
        <v>1750</v>
      </c>
      <c r="K11">
        <v>0</v>
      </c>
      <c r="L11">
        <v>0</v>
      </c>
      <c r="M11">
        <v>87.5</v>
      </c>
      <c r="N11" s="3">
        <f t="shared" si="0"/>
        <v>1837.5</v>
      </c>
    </row>
    <row r="12" spans="1:23" x14ac:dyDescent="0.25">
      <c r="A12" t="s">
        <v>44</v>
      </c>
      <c r="B12" s="7" t="s">
        <v>30</v>
      </c>
      <c r="C12" t="s">
        <v>42</v>
      </c>
      <c r="D12" t="s">
        <v>43</v>
      </c>
      <c r="E12" t="s">
        <v>22</v>
      </c>
      <c r="F12" s="5" t="s">
        <v>147</v>
      </c>
      <c r="G12" t="s">
        <v>148</v>
      </c>
      <c r="H12">
        <v>1</v>
      </c>
      <c r="I12">
        <v>2700</v>
      </c>
      <c r="J12">
        <v>2700</v>
      </c>
      <c r="K12">
        <v>0</v>
      </c>
      <c r="L12" s="3">
        <v>0</v>
      </c>
      <c r="M12">
        <v>135</v>
      </c>
      <c r="N12" s="3">
        <f t="shared" si="0"/>
        <v>2835</v>
      </c>
      <c r="P12" s="3"/>
      <c r="Q12" s="3"/>
      <c r="W12" s="3"/>
    </row>
    <row r="13" spans="1:23" x14ac:dyDescent="0.25">
      <c r="A13" t="s">
        <v>45</v>
      </c>
      <c r="B13" s="7" t="s">
        <v>30</v>
      </c>
      <c r="C13" t="s">
        <v>42</v>
      </c>
      <c r="D13" t="s">
        <v>43</v>
      </c>
      <c r="E13" t="s">
        <v>22</v>
      </c>
      <c r="F13" s="5" t="s">
        <v>147</v>
      </c>
      <c r="G13" t="s">
        <v>148</v>
      </c>
      <c r="H13">
        <v>1</v>
      </c>
      <c r="I13">
        <v>3150</v>
      </c>
      <c r="J13">
        <v>3150</v>
      </c>
      <c r="K13">
        <v>0</v>
      </c>
      <c r="L13" s="3">
        <v>0</v>
      </c>
      <c r="M13">
        <v>157.5</v>
      </c>
      <c r="N13" s="3">
        <f t="shared" si="0"/>
        <v>3307.5</v>
      </c>
      <c r="P13" s="3"/>
      <c r="Q13" s="3"/>
      <c r="W13" s="3"/>
    </row>
    <row r="14" spans="1:23" x14ac:dyDescent="0.25">
      <c r="A14" t="s">
        <v>46</v>
      </c>
      <c r="B14" s="7" t="s">
        <v>30</v>
      </c>
      <c r="C14" t="s">
        <v>47</v>
      </c>
      <c r="D14" t="s">
        <v>48</v>
      </c>
      <c r="E14" t="s">
        <v>22</v>
      </c>
      <c r="F14" s="5" t="s">
        <v>147</v>
      </c>
      <c r="G14" t="s">
        <v>148</v>
      </c>
      <c r="H14">
        <v>1</v>
      </c>
      <c r="I14">
        <v>200</v>
      </c>
      <c r="J14">
        <v>200</v>
      </c>
      <c r="K14">
        <v>0</v>
      </c>
      <c r="L14" s="3">
        <v>0</v>
      </c>
      <c r="M14">
        <v>10</v>
      </c>
      <c r="N14" s="3">
        <f t="shared" si="0"/>
        <v>210</v>
      </c>
      <c r="P14" s="3"/>
      <c r="Q14" s="3"/>
      <c r="W14" s="3"/>
    </row>
    <row r="15" spans="1:23" x14ac:dyDescent="0.25">
      <c r="A15" t="s">
        <v>49</v>
      </c>
      <c r="B15" s="7" t="s">
        <v>30</v>
      </c>
      <c r="C15" t="s">
        <v>50</v>
      </c>
      <c r="D15" t="s">
        <v>51</v>
      </c>
      <c r="E15" t="s">
        <v>22</v>
      </c>
      <c r="F15" s="5" t="s">
        <v>147</v>
      </c>
      <c r="G15" t="s">
        <v>148</v>
      </c>
      <c r="H15">
        <v>1</v>
      </c>
      <c r="I15">
        <v>5742</v>
      </c>
      <c r="J15">
        <v>5742</v>
      </c>
      <c r="K15">
        <v>0</v>
      </c>
      <c r="L15" s="3">
        <v>0</v>
      </c>
      <c r="M15">
        <v>287.10000000000002</v>
      </c>
      <c r="N15" s="3">
        <f t="shared" si="0"/>
        <v>6029.1</v>
      </c>
      <c r="P15" s="3"/>
      <c r="Q15" s="3"/>
      <c r="W15" s="3"/>
    </row>
    <row r="16" spans="1:23" x14ac:dyDescent="0.25">
      <c r="A16" t="s">
        <v>52</v>
      </c>
      <c r="B16" s="7" t="s">
        <v>53</v>
      </c>
      <c r="C16" t="s">
        <v>54</v>
      </c>
      <c r="D16" t="s">
        <v>55</v>
      </c>
      <c r="E16" t="s">
        <v>18</v>
      </c>
      <c r="F16" s="5" t="s">
        <v>147</v>
      </c>
      <c r="G16" t="s">
        <v>148</v>
      </c>
      <c r="H16">
        <v>1</v>
      </c>
      <c r="I16">
        <v>450</v>
      </c>
      <c r="J16">
        <v>450</v>
      </c>
      <c r="K16">
        <v>11.25</v>
      </c>
      <c r="L16" s="3">
        <v>11.25</v>
      </c>
      <c r="M16">
        <v>0</v>
      </c>
      <c r="N16" s="3">
        <f t="shared" si="0"/>
        <v>472.5</v>
      </c>
      <c r="P16" s="3"/>
      <c r="Q16" s="3"/>
      <c r="W16" s="3"/>
    </row>
    <row r="17" spans="1:14" x14ac:dyDescent="0.25">
      <c r="A17" t="s">
        <v>56</v>
      </c>
      <c r="B17" s="7" t="s">
        <v>53</v>
      </c>
      <c r="C17" t="s">
        <v>27</v>
      </c>
      <c r="D17" t="s">
        <v>28</v>
      </c>
      <c r="E17" t="s">
        <v>22</v>
      </c>
      <c r="F17" s="5" t="s">
        <v>147</v>
      </c>
      <c r="G17" t="s">
        <v>148</v>
      </c>
      <c r="H17">
        <v>1</v>
      </c>
      <c r="I17">
        <v>5200</v>
      </c>
      <c r="J17">
        <v>5200</v>
      </c>
      <c r="K17">
        <v>0</v>
      </c>
      <c r="L17" s="3">
        <v>0</v>
      </c>
      <c r="M17">
        <v>260</v>
      </c>
      <c r="N17" s="3">
        <f t="shared" si="0"/>
        <v>5460</v>
      </c>
    </row>
    <row r="18" spans="1:14" x14ac:dyDescent="0.25">
      <c r="A18" t="s">
        <v>57</v>
      </c>
      <c r="B18" s="7" t="s">
        <v>53</v>
      </c>
      <c r="C18" t="s">
        <v>58</v>
      </c>
      <c r="D18" t="s">
        <v>59</v>
      </c>
      <c r="E18" t="s">
        <v>18</v>
      </c>
      <c r="F18" s="5" t="s">
        <v>147</v>
      </c>
      <c r="G18" t="s">
        <v>148</v>
      </c>
      <c r="H18">
        <v>1</v>
      </c>
      <c r="I18">
        <v>300</v>
      </c>
      <c r="J18">
        <v>300</v>
      </c>
      <c r="K18">
        <v>7.5</v>
      </c>
      <c r="L18" s="3">
        <v>7.5</v>
      </c>
      <c r="M18">
        <v>0</v>
      </c>
      <c r="N18" s="3">
        <f t="shared" si="0"/>
        <v>315</v>
      </c>
    </row>
    <row r="19" spans="1:14" x14ac:dyDescent="0.25">
      <c r="A19" t="s">
        <v>60</v>
      </c>
      <c r="B19" s="7" t="s">
        <v>61</v>
      </c>
      <c r="C19" t="s">
        <v>62</v>
      </c>
      <c r="D19" t="s">
        <v>63</v>
      </c>
      <c r="E19" t="s">
        <v>22</v>
      </c>
      <c r="F19" s="5" t="s">
        <v>147</v>
      </c>
      <c r="G19" t="s">
        <v>148</v>
      </c>
      <c r="H19">
        <v>1</v>
      </c>
      <c r="I19">
        <v>12801.6</v>
      </c>
      <c r="J19">
        <v>12801.6</v>
      </c>
      <c r="K19">
        <v>0</v>
      </c>
      <c r="L19" s="3">
        <v>0</v>
      </c>
      <c r="M19">
        <v>640.08000000000004</v>
      </c>
      <c r="N19" s="3">
        <f t="shared" si="0"/>
        <v>13441.68</v>
      </c>
    </row>
    <row r="20" spans="1:14" x14ac:dyDescent="0.25">
      <c r="A20" t="s">
        <v>64</v>
      </c>
      <c r="B20" s="7" t="s">
        <v>65</v>
      </c>
      <c r="C20" t="s">
        <v>66</v>
      </c>
      <c r="D20" t="s">
        <v>67</v>
      </c>
      <c r="E20" t="s">
        <v>18</v>
      </c>
      <c r="F20" s="5" t="s">
        <v>147</v>
      </c>
      <c r="G20" t="s">
        <v>148</v>
      </c>
      <c r="H20">
        <v>1</v>
      </c>
      <c r="I20">
        <v>903</v>
      </c>
      <c r="J20">
        <v>903</v>
      </c>
      <c r="K20">
        <v>22.58</v>
      </c>
      <c r="L20" s="3">
        <v>22.58</v>
      </c>
      <c r="M20">
        <v>0</v>
      </c>
      <c r="N20" s="3">
        <f t="shared" si="0"/>
        <v>948.16000000000008</v>
      </c>
    </row>
    <row r="21" spans="1:14" x14ac:dyDescent="0.25">
      <c r="A21" t="s">
        <v>68</v>
      </c>
      <c r="B21" s="7" t="s">
        <v>69</v>
      </c>
      <c r="C21" t="s">
        <v>70</v>
      </c>
      <c r="D21" t="s">
        <v>71</v>
      </c>
      <c r="E21" t="s">
        <v>18</v>
      </c>
      <c r="F21" s="5" t="s">
        <v>147</v>
      </c>
      <c r="G21" t="s">
        <v>148</v>
      </c>
      <c r="H21">
        <v>1</v>
      </c>
      <c r="I21">
        <v>9709</v>
      </c>
      <c r="J21">
        <v>9709</v>
      </c>
      <c r="K21">
        <v>242.73</v>
      </c>
      <c r="L21" s="3">
        <v>242.73</v>
      </c>
      <c r="M21">
        <v>0</v>
      </c>
      <c r="N21" s="3">
        <f t="shared" si="0"/>
        <v>10194.459999999999</v>
      </c>
    </row>
    <row r="22" spans="1:14" x14ac:dyDescent="0.25">
      <c r="A22" t="s">
        <v>72</v>
      </c>
      <c r="B22" s="7" t="s">
        <v>69</v>
      </c>
      <c r="C22" t="s">
        <v>66</v>
      </c>
      <c r="D22" t="s">
        <v>67</v>
      </c>
      <c r="E22" t="s">
        <v>18</v>
      </c>
      <c r="F22" s="5" t="s">
        <v>147</v>
      </c>
      <c r="G22" t="s">
        <v>148</v>
      </c>
      <c r="H22">
        <v>1</v>
      </c>
      <c r="I22">
        <v>947.5</v>
      </c>
      <c r="J22">
        <v>947.5</v>
      </c>
      <c r="K22">
        <v>23.69</v>
      </c>
      <c r="L22" s="3">
        <v>23.69</v>
      </c>
      <c r="M22">
        <v>0</v>
      </c>
      <c r="N22" s="3">
        <f t="shared" si="0"/>
        <v>994.88000000000011</v>
      </c>
    </row>
    <row r="23" spans="1:14" x14ac:dyDescent="0.25">
      <c r="A23" t="s">
        <v>73</v>
      </c>
      <c r="B23" s="7" t="s">
        <v>69</v>
      </c>
      <c r="C23" t="s">
        <v>62</v>
      </c>
      <c r="D23" t="s">
        <v>63</v>
      </c>
      <c r="E23" t="s">
        <v>22</v>
      </c>
      <c r="F23" s="5" t="s">
        <v>147</v>
      </c>
      <c r="G23" t="s">
        <v>148</v>
      </c>
      <c r="H23">
        <v>1</v>
      </c>
      <c r="I23">
        <v>2857.5</v>
      </c>
      <c r="J23">
        <v>2857.5</v>
      </c>
      <c r="K23">
        <v>0</v>
      </c>
      <c r="L23" s="3">
        <v>0</v>
      </c>
      <c r="M23">
        <v>142.88</v>
      </c>
      <c r="N23" s="3">
        <f t="shared" si="0"/>
        <v>3000.38</v>
      </c>
    </row>
    <row r="24" spans="1:14" x14ac:dyDescent="0.25">
      <c r="A24" t="s">
        <v>74</v>
      </c>
      <c r="B24" s="7" t="s">
        <v>75</v>
      </c>
      <c r="C24" t="s">
        <v>62</v>
      </c>
      <c r="D24" t="s">
        <v>63</v>
      </c>
      <c r="E24" t="s">
        <v>22</v>
      </c>
      <c r="F24" s="5" t="s">
        <v>147</v>
      </c>
      <c r="G24" t="s">
        <v>148</v>
      </c>
      <c r="H24">
        <v>1</v>
      </c>
      <c r="I24">
        <v>-3200.4</v>
      </c>
      <c r="J24">
        <v>-3200.4</v>
      </c>
      <c r="K24">
        <v>0</v>
      </c>
      <c r="L24" s="3">
        <v>0</v>
      </c>
      <c r="M24">
        <v>-160.02000000000001</v>
      </c>
      <c r="N24" s="3">
        <f t="shared" si="0"/>
        <v>-3360.42</v>
      </c>
    </row>
    <row r="25" spans="1:14" x14ac:dyDescent="0.25">
      <c r="A25" t="s">
        <v>76</v>
      </c>
      <c r="B25" s="7" t="s">
        <v>77</v>
      </c>
      <c r="C25" t="s">
        <v>78</v>
      </c>
      <c r="D25" t="s">
        <v>79</v>
      </c>
      <c r="E25" t="s">
        <v>22</v>
      </c>
      <c r="F25" s="5" t="s">
        <v>147</v>
      </c>
      <c r="G25" t="s">
        <v>148</v>
      </c>
      <c r="H25">
        <v>1</v>
      </c>
      <c r="I25">
        <v>750</v>
      </c>
      <c r="J25">
        <v>750</v>
      </c>
      <c r="K25">
        <v>0</v>
      </c>
      <c r="L25" s="3">
        <v>0</v>
      </c>
      <c r="M25">
        <v>38</v>
      </c>
      <c r="N25" s="3">
        <f t="shared" si="0"/>
        <v>788</v>
      </c>
    </row>
    <row r="26" spans="1:14" x14ac:dyDescent="0.25">
      <c r="A26" t="s">
        <v>80</v>
      </c>
      <c r="B26" s="7" t="s">
        <v>81</v>
      </c>
      <c r="C26" t="s">
        <v>42</v>
      </c>
      <c r="D26" t="s">
        <v>43</v>
      </c>
      <c r="E26" t="s">
        <v>22</v>
      </c>
      <c r="F26" s="5" t="s">
        <v>147</v>
      </c>
      <c r="G26" t="s">
        <v>148</v>
      </c>
      <c r="H26">
        <v>1</v>
      </c>
      <c r="I26">
        <v>2200</v>
      </c>
      <c r="J26">
        <v>2200</v>
      </c>
      <c r="K26">
        <v>0</v>
      </c>
      <c r="L26" s="3">
        <v>0</v>
      </c>
      <c r="M26">
        <v>110</v>
      </c>
      <c r="N26" s="3">
        <f t="shared" si="0"/>
        <v>2310</v>
      </c>
    </row>
    <row r="27" spans="1:14" x14ac:dyDescent="0.25">
      <c r="A27" t="s">
        <v>82</v>
      </c>
      <c r="B27" s="7" t="s">
        <v>83</v>
      </c>
      <c r="C27" t="s">
        <v>70</v>
      </c>
      <c r="D27" t="s">
        <v>71</v>
      </c>
      <c r="E27" t="s">
        <v>18</v>
      </c>
      <c r="F27" s="5" t="s">
        <v>147</v>
      </c>
      <c r="G27" t="s">
        <v>148</v>
      </c>
      <c r="H27">
        <v>1</v>
      </c>
      <c r="I27">
        <v>8550</v>
      </c>
      <c r="J27">
        <v>8550</v>
      </c>
      <c r="K27">
        <v>213.75</v>
      </c>
      <c r="L27" s="3">
        <v>213.75</v>
      </c>
      <c r="M27">
        <v>0</v>
      </c>
      <c r="N27" s="3">
        <f t="shared" si="0"/>
        <v>8977.5</v>
      </c>
    </row>
    <row r="28" spans="1:14" x14ac:dyDescent="0.25">
      <c r="A28" t="s">
        <v>84</v>
      </c>
      <c r="B28" s="7" t="s">
        <v>83</v>
      </c>
      <c r="C28" t="s">
        <v>85</v>
      </c>
      <c r="D28" t="s">
        <v>86</v>
      </c>
      <c r="E28" t="s">
        <v>22</v>
      </c>
      <c r="F28" s="5" t="s">
        <v>147</v>
      </c>
      <c r="G28" t="s">
        <v>148</v>
      </c>
      <c r="H28">
        <v>1</v>
      </c>
      <c r="I28">
        <v>11198</v>
      </c>
      <c r="J28">
        <v>11198</v>
      </c>
      <c r="K28">
        <v>0</v>
      </c>
      <c r="L28" s="3">
        <v>0</v>
      </c>
      <c r="M28">
        <v>559.9</v>
      </c>
      <c r="N28" s="3">
        <f t="shared" si="0"/>
        <v>11757.9</v>
      </c>
    </row>
    <row r="29" spans="1:14" x14ac:dyDescent="0.25">
      <c r="A29" t="s">
        <v>87</v>
      </c>
      <c r="B29" s="7" t="s">
        <v>83</v>
      </c>
      <c r="C29" t="s">
        <v>88</v>
      </c>
      <c r="D29" t="s">
        <v>89</v>
      </c>
      <c r="E29" t="s">
        <v>90</v>
      </c>
      <c r="F29" s="5" t="s">
        <v>147</v>
      </c>
      <c r="G29" t="s">
        <v>148</v>
      </c>
      <c r="H29">
        <v>1</v>
      </c>
      <c r="I29">
        <v>440</v>
      </c>
      <c r="J29">
        <v>440</v>
      </c>
      <c r="K29">
        <v>0</v>
      </c>
      <c r="L29" s="3">
        <v>0</v>
      </c>
      <c r="M29">
        <v>22</v>
      </c>
      <c r="N29" s="3">
        <f t="shared" si="0"/>
        <v>462</v>
      </c>
    </row>
    <row r="30" spans="1:14" x14ac:dyDescent="0.25">
      <c r="A30" t="s">
        <v>91</v>
      </c>
      <c r="B30" s="7" t="s">
        <v>92</v>
      </c>
      <c r="C30" t="s">
        <v>66</v>
      </c>
      <c r="D30" t="s">
        <v>67</v>
      </c>
      <c r="E30" t="s">
        <v>18</v>
      </c>
      <c r="F30" s="5" t="s">
        <v>147</v>
      </c>
      <c r="G30" t="s">
        <v>148</v>
      </c>
      <c r="H30">
        <v>1</v>
      </c>
      <c r="I30">
        <v>552</v>
      </c>
      <c r="J30">
        <v>552</v>
      </c>
      <c r="K30">
        <v>13.8</v>
      </c>
      <c r="L30" s="3">
        <v>13.8</v>
      </c>
      <c r="M30">
        <v>0</v>
      </c>
      <c r="N30" s="3">
        <f t="shared" si="0"/>
        <v>579.59999999999991</v>
      </c>
    </row>
    <row r="31" spans="1:14" x14ac:dyDescent="0.25">
      <c r="A31" t="s">
        <v>93</v>
      </c>
      <c r="B31" s="7" t="s">
        <v>92</v>
      </c>
      <c r="C31" t="s">
        <v>94</v>
      </c>
      <c r="D31" t="s">
        <v>95</v>
      </c>
      <c r="E31" t="s">
        <v>18</v>
      </c>
      <c r="F31" s="5" t="s">
        <v>147</v>
      </c>
      <c r="G31" t="s">
        <v>148</v>
      </c>
      <c r="H31">
        <v>1</v>
      </c>
      <c r="I31">
        <v>2400</v>
      </c>
      <c r="J31">
        <v>2400</v>
      </c>
      <c r="K31">
        <v>60</v>
      </c>
      <c r="L31" s="3">
        <v>60</v>
      </c>
      <c r="M31">
        <v>0</v>
      </c>
      <c r="N31" s="3">
        <f t="shared" si="0"/>
        <v>2520</v>
      </c>
    </row>
    <row r="32" spans="1:14" x14ac:dyDescent="0.25">
      <c r="A32" t="s">
        <v>96</v>
      </c>
      <c r="B32" s="7" t="s">
        <v>97</v>
      </c>
      <c r="C32" t="s">
        <v>66</v>
      </c>
      <c r="D32" t="s">
        <v>67</v>
      </c>
      <c r="E32" t="s">
        <v>18</v>
      </c>
      <c r="F32" s="5" t="s">
        <v>147</v>
      </c>
      <c r="G32" t="s">
        <v>148</v>
      </c>
      <c r="H32">
        <v>1</v>
      </c>
      <c r="I32">
        <v>5805</v>
      </c>
      <c r="J32">
        <v>5805</v>
      </c>
      <c r="K32">
        <v>145.13</v>
      </c>
      <c r="L32" s="3">
        <v>145.13</v>
      </c>
      <c r="M32">
        <v>0</v>
      </c>
      <c r="N32" s="3">
        <f t="shared" si="0"/>
        <v>6095.26</v>
      </c>
    </row>
    <row r="33" spans="1:14" x14ac:dyDescent="0.25">
      <c r="A33" t="s">
        <v>98</v>
      </c>
      <c r="B33" s="7" t="s">
        <v>97</v>
      </c>
      <c r="C33" t="s">
        <v>99</v>
      </c>
      <c r="D33" t="s">
        <v>100</v>
      </c>
      <c r="E33" t="s">
        <v>18</v>
      </c>
      <c r="F33" s="5" t="s">
        <v>147</v>
      </c>
      <c r="G33" t="s">
        <v>148</v>
      </c>
      <c r="H33">
        <v>1</v>
      </c>
      <c r="I33">
        <v>3200</v>
      </c>
      <c r="J33">
        <v>3200</v>
      </c>
      <c r="K33">
        <v>80</v>
      </c>
      <c r="L33" s="3">
        <v>80</v>
      </c>
      <c r="M33">
        <v>0</v>
      </c>
      <c r="N33" s="3">
        <f t="shared" si="0"/>
        <v>3360</v>
      </c>
    </row>
    <row r="34" spans="1:14" x14ac:dyDescent="0.25">
      <c r="A34" t="s">
        <v>101</v>
      </c>
      <c r="B34" s="7" t="s">
        <v>65</v>
      </c>
      <c r="C34" t="s">
        <v>58</v>
      </c>
      <c r="D34" t="s">
        <v>59</v>
      </c>
      <c r="E34" t="s">
        <v>18</v>
      </c>
      <c r="F34" s="5" t="s">
        <v>147</v>
      </c>
      <c r="G34" t="s">
        <v>148</v>
      </c>
      <c r="H34">
        <v>1</v>
      </c>
      <c r="I34">
        <v>300</v>
      </c>
      <c r="J34">
        <v>300</v>
      </c>
      <c r="K34">
        <v>7.5</v>
      </c>
      <c r="L34" s="3">
        <v>7.5</v>
      </c>
      <c r="M34">
        <v>0</v>
      </c>
      <c r="N34" s="3">
        <f t="shared" si="0"/>
        <v>315</v>
      </c>
    </row>
    <row r="35" spans="1:14" x14ac:dyDescent="0.25">
      <c r="A35" t="s">
        <v>102</v>
      </c>
      <c r="B35" s="7" t="s">
        <v>103</v>
      </c>
      <c r="C35" t="s">
        <v>31</v>
      </c>
      <c r="D35" t="s">
        <v>32</v>
      </c>
      <c r="E35" t="s">
        <v>18</v>
      </c>
      <c r="F35" s="5" t="s">
        <v>147</v>
      </c>
      <c r="G35" t="s">
        <v>148</v>
      </c>
      <c r="H35">
        <v>1</v>
      </c>
      <c r="I35">
        <v>880</v>
      </c>
      <c r="J35">
        <v>880</v>
      </c>
      <c r="K35">
        <v>22</v>
      </c>
      <c r="L35" s="3">
        <v>22</v>
      </c>
      <c r="M35">
        <v>0</v>
      </c>
      <c r="N35" s="3">
        <f t="shared" si="0"/>
        <v>924</v>
      </c>
    </row>
    <row r="36" spans="1:14" x14ac:dyDescent="0.25">
      <c r="A36" t="s">
        <v>104</v>
      </c>
      <c r="B36" s="7" t="s">
        <v>103</v>
      </c>
      <c r="C36" t="s">
        <v>31</v>
      </c>
      <c r="D36" t="s">
        <v>32</v>
      </c>
      <c r="E36" t="s">
        <v>18</v>
      </c>
      <c r="F36" s="5" t="s">
        <v>147</v>
      </c>
      <c r="G36" t="s">
        <v>148</v>
      </c>
      <c r="H36">
        <v>1</v>
      </c>
      <c r="I36">
        <v>10400</v>
      </c>
      <c r="J36">
        <v>10400</v>
      </c>
      <c r="K36">
        <v>260</v>
      </c>
      <c r="L36" s="3">
        <v>260</v>
      </c>
      <c r="M36">
        <v>0</v>
      </c>
      <c r="N36" s="3">
        <f t="shared" si="0"/>
        <v>10920</v>
      </c>
    </row>
    <row r="37" spans="1:14" x14ac:dyDescent="0.25">
      <c r="A37" t="s">
        <v>105</v>
      </c>
      <c r="B37" s="7" t="s">
        <v>103</v>
      </c>
      <c r="C37" t="s">
        <v>31</v>
      </c>
      <c r="D37" t="s">
        <v>32</v>
      </c>
      <c r="E37" t="s">
        <v>18</v>
      </c>
      <c r="F37" s="5" t="s">
        <v>147</v>
      </c>
      <c r="G37" t="s">
        <v>148</v>
      </c>
      <c r="H37">
        <v>1</v>
      </c>
      <c r="I37">
        <v>800</v>
      </c>
      <c r="J37">
        <v>800</v>
      </c>
      <c r="K37">
        <v>20</v>
      </c>
      <c r="L37" s="3">
        <v>20</v>
      </c>
      <c r="M37">
        <v>0</v>
      </c>
      <c r="N37" s="3">
        <f t="shared" si="0"/>
        <v>840</v>
      </c>
    </row>
    <row r="38" spans="1:14" x14ac:dyDescent="0.25">
      <c r="A38" t="s">
        <v>106</v>
      </c>
      <c r="B38" s="7" t="s">
        <v>107</v>
      </c>
      <c r="C38" t="s">
        <v>108</v>
      </c>
      <c r="D38" t="s">
        <v>109</v>
      </c>
      <c r="E38" t="s">
        <v>22</v>
      </c>
      <c r="F38" s="5" t="s">
        <v>147</v>
      </c>
      <c r="G38" t="s">
        <v>148</v>
      </c>
      <c r="H38">
        <v>1</v>
      </c>
      <c r="I38">
        <v>17552</v>
      </c>
      <c r="J38">
        <v>17552</v>
      </c>
      <c r="K38">
        <v>0</v>
      </c>
      <c r="L38" s="3">
        <v>0</v>
      </c>
      <c r="M38">
        <v>877.6</v>
      </c>
      <c r="N38" s="3">
        <f t="shared" si="0"/>
        <v>18429.599999999999</v>
      </c>
    </row>
    <row r="39" spans="1:14" x14ac:dyDescent="0.25">
      <c r="A39" t="s">
        <v>110</v>
      </c>
      <c r="B39" s="7" t="s">
        <v>69</v>
      </c>
      <c r="C39" t="s">
        <v>16</v>
      </c>
      <c r="D39" t="s">
        <v>17</v>
      </c>
      <c r="E39" t="s">
        <v>18</v>
      </c>
      <c r="F39" s="5" t="s">
        <v>147</v>
      </c>
      <c r="G39" t="s">
        <v>148</v>
      </c>
      <c r="H39">
        <v>1</v>
      </c>
      <c r="I39">
        <f>120+840</f>
        <v>960</v>
      </c>
      <c r="J39">
        <v>960</v>
      </c>
      <c r="K39">
        <v>75.599999999999994</v>
      </c>
      <c r="L39" s="3">
        <v>75.599999999999994</v>
      </c>
      <c r="M39">
        <v>0</v>
      </c>
      <c r="N39" s="3">
        <f t="shared" si="0"/>
        <v>1111.1999999999998</v>
      </c>
    </row>
    <row r="40" spans="1:14" x14ac:dyDescent="0.25">
      <c r="A40" t="s">
        <v>72</v>
      </c>
      <c r="B40" s="7" t="s">
        <v>69</v>
      </c>
      <c r="C40" t="s">
        <v>66</v>
      </c>
      <c r="D40" t="s">
        <v>67</v>
      </c>
      <c r="E40" t="s">
        <v>18</v>
      </c>
      <c r="F40" s="5" t="s">
        <v>147</v>
      </c>
      <c r="G40" t="s">
        <v>148</v>
      </c>
      <c r="H40">
        <v>1</v>
      </c>
      <c r="I40">
        <v>947.5</v>
      </c>
      <c r="J40">
        <v>947.5</v>
      </c>
      <c r="K40">
        <v>23.69</v>
      </c>
      <c r="L40" s="3">
        <v>23.69</v>
      </c>
      <c r="M40">
        <v>0</v>
      </c>
      <c r="N40" s="3">
        <f t="shared" si="0"/>
        <v>994.88000000000011</v>
      </c>
    </row>
    <row r="41" spans="1:14" x14ac:dyDescent="0.25">
      <c r="A41" t="s">
        <v>111</v>
      </c>
      <c r="B41" s="7" t="s">
        <v>69</v>
      </c>
      <c r="C41" t="s">
        <v>112</v>
      </c>
      <c r="D41" t="s">
        <v>113</v>
      </c>
      <c r="E41" t="s">
        <v>22</v>
      </c>
      <c r="F41" s="5" t="s">
        <v>147</v>
      </c>
      <c r="G41" t="s">
        <v>148</v>
      </c>
      <c r="H41">
        <v>1</v>
      </c>
      <c r="I41">
        <v>198</v>
      </c>
      <c r="J41">
        <v>198</v>
      </c>
      <c r="K41">
        <v>0</v>
      </c>
      <c r="L41" s="3">
        <v>0</v>
      </c>
      <c r="M41">
        <v>9.9</v>
      </c>
      <c r="N41" s="3">
        <f t="shared" si="0"/>
        <v>207.9</v>
      </c>
    </row>
    <row r="42" spans="1:14" x14ac:dyDescent="0.25">
      <c r="A42" t="s">
        <v>114</v>
      </c>
      <c r="B42" s="7" t="s">
        <v>69</v>
      </c>
      <c r="C42" t="s">
        <v>31</v>
      </c>
      <c r="D42" t="s">
        <v>32</v>
      </c>
      <c r="E42" t="s">
        <v>18</v>
      </c>
      <c r="F42" s="5" t="s">
        <v>147</v>
      </c>
      <c r="G42" t="s">
        <v>148</v>
      </c>
      <c r="H42">
        <v>1</v>
      </c>
      <c r="I42">
        <v>1200</v>
      </c>
      <c r="J42">
        <v>1200</v>
      </c>
      <c r="K42">
        <v>30</v>
      </c>
      <c r="L42" s="3">
        <v>30</v>
      </c>
      <c r="M42">
        <v>0</v>
      </c>
      <c r="N42" s="3">
        <f t="shared" si="0"/>
        <v>1260</v>
      </c>
    </row>
    <row r="43" spans="1:14" x14ac:dyDescent="0.25">
      <c r="A43" t="s">
        <v>115</v>
      </c>
      <c r="B43" s="7" t="s">
        <v>69</v>
      </c>
      <c r="C43" t="s">
        <v>99</v>
      </c>
      <c r="D43" t="s">
        <v>100</v>
      </c>
      <c r="E43" t="s">
        <v>18</v>
      </c>
      <c r="F43" s="5" t="s">
        <v>147</v>
      </c>
      <c r="G43" t="s">
        <v>148</v>
      </c>
      <c r="H43">
        <v>1</v>
      </c>
      <c r="I43">
        <v>2000</v>
      </c>
      <c r="J43">
        <v>2000</v>
      </c>
      <c r="K43">
        <v>50</v>
      </c>
      <c r="L43" s="3">
        <v>50</v>
      </c>
      <c r="M43">
        <v>0</v>
      </c>
      <c r="N43" s="3">
        <f t="shared" si="0"/>
        <v>2100</v>
      </c>
    </row>
    <row r="44" spans="1:14" x14ac:dyDescent="0.25">
      <c r="A44" t="s">
        <v>116</v>
      </c>
      <c r="B44" s="7" t="s">
        <v>69</v>
      </c>
      <c r="C44" t="s">
        <v>117</v>
      </c>
      <c r="D44" t="s">
        <v>118</v>
      </c>
      <c r="E44" t="s">
        <v>22</v>
      </c>
      <c r="F44" s="5" t="s">
        <v>147</v>
      </c>
      <c r="G44" t="s">
        <v>148</v>
      </c>
      <c r="H44">
        <v>1</v>
      </c>
      <c r="I44">
        <v>120</v>
      </c>
      <c r="J44">
        <v>120</v>
      </c>
      <c r="K44">
        <v>0</v>
      </c>
      <c r="L44" s="3">
        <v>0</v>
      </c>
      <c r="M44">
        <v>6</v>
      </c>
      <c r="N44" s="3">
        <f t="shared" si="0"/>
        <v>126</v>
      </c>
    </row>
    <row r="45" spans="1:14" x14ac:dyDescent="0.25">
      <c r="A45" t="s">
        <v>119</v>
      </c>
      <c r="B45" s="7" t="s">
        <v>69</v>
      </c>
      <c r="C45" t="s">
        <v>120</v>
      </c>
      <c r="D45" t="s">
        <v>121</v>
      </c>
      <c r="E45" t="s">
        <v>22</v>
      </c>
      <c r="F45" s="5" t="s">
        <v>147</v>
      </c>
      <c r="G45" t="s">
        <v>148</v>
      </c>
      <c r="H45">
        <v>1</v>
      </c>
      <c r="I45">
        <v>500</v>
      </c>
      <c r="J45">
        <v>500</v>
      </c>
      <c r="K45">
        <v>0</v>
      </c>
      <c r="L45" s="3">
        <v>0</v>
      </c>
      <c r="M45">
        <v>25</v>
      </c>
      <c r="N45" s="3">
        <f t="shared" si="0"/>
        <v>525</v>
      </c>
    </row>
    <row r="46" spans="1:14" x14ac:dyDescent="0.25">
      <c r="A46" t="s">
        <v>122</v>
      </c>
      <c r="B46" s="7" t="s">
        <v>69</v>
      </c>
      <c r="C46" t="s">
        <v>123</v>
      </c>
      <c r="D46" t="s">
        <v>124</v>
      </c>
      <c r="E46" t="s">
        <v>22</v>
      </c>
      <c r="F46" s="5" t="s">
        <v>147</v>
      </c>
      <c r="G46" t="s">
        <v>148</v>
      </c>
      <c r="H46">
        <v>1</v>
      </c>
      <c r="I46">
        <v>1750</v>
      </c>
      <c r="J46">
        <v>1750</v>
      </c>
      <c r="K46">
        <v>0</v>
      </c>
      <c r="L46" s="3">
        <v>0</v>
      </c>
      <c r="M46">
        <v>87.5</v>
      </c>
      <c r="N46" s="3">
        <f t="shared" si="0"/>
        <v>1837.5</v>
      </c>
    </row>
    <row r="47" spans="1:14" x14ac:dyDescent="0.25">
      <c r="A47" t="s">
        <v>125</v>
      </c>
      <c r="B47" s="7" t="s">
        <v>126</v>
      </c>
      <c r="C47" t="s">
        <v>127</v>
      </c>
      <c r="D47" t="s">
        <v>128</v>
      </c>
      <c r="E47" t="s">
        <v>22</v>
      </c>
      <c r="F47" s="5" t="s">
        <v>147</v>
      </c>
      <c r="G47" t="s">
        <v>148</v>
      </c>
      <c r="H47">
        <v>1</v>
      </c>
      <c r="I47">
        <v>53540</v>
      </c>
      <c r="J47">
        <v>53540</v>
      </c>
      <c r="K47">
        <v>0</v>
      </c>
      <c r="L47" s="3">
        <v>0</v>
      </c>
      <c r="M47">
        <v>2677</v>
      </c>
      <c r="N47" s="3">
        <f t="shared" si="0"/>
        <v>56217</v>
      </c>
    </row>
    <row r="48" spans="1:14" x14ac:dyDescent="0.25">
      <c r="A48" t="s">
        <v>129</v>
      </c>
      <c r="B48" s="7" t="s">
        <v>77</v>
      </c>
      <c r="C48" t="s">
        <v>130</v>
      </c>
      <c r="D48" t="s">
        <v>131</v>
      </c>
      <c r="E48" t="s">
        <v>18</v>
      </c>
      <c r="F48" s="5" t="s">
        <v>147</v>
      </c>
      <c r="G48" t="s">
        <v>148</v>
      </c>
      <c r="H48">
        <v>1</v>
      </c>
      <c r="I48">
        <v>240</v>
      </c>
      <c r="J48">
        <v>240</v>
      </c>
      <c r="K48">
        <v>6</v>
      </c>
      <c r="L48" s="3">
        <v>6</v>
      </c>
      <c r="M48">
        <v>0</v>
      </c>
      <c r="N48" s="3">
        <f t="shared" si="0"/>
        <v>252</v>
      </c>
    </row>
    <row r="49" spans="1:14" x14ac:dyDescent="0.25">
      <c r="A49" t="s">
        <v>132</v>
      </c>
      <c r="B49" s="7" t="s">
        <v>133</v>
      </c>
      <c r="C49" t="s">
        <v>108</v>
      </c>
      <c r="D49" t="s">
        <v>109</v>
      </c>
      <c r="E49" t="s">
        <v>22</v>
      </c>
      <c r="F49" s="5" t="s">
        <v>147</v>
      </c>
      <c r="G49" t="s">
        <v>148</v>
      </c>
      <c r="H49">
        <v>1</v>
      </c>
      <c r="I49">
        <v>-20743.2</v>
      </c>
      <c r="J49">
        <v>-20743.2</v>
      </c>
      <c r="K49">
        <v>0</v>
      </c>
      <c r="L49" s="3">
        <v>0</v>
      </c>
      <c r="M49">
        <v>-1037.1600000000001</v>
      </c>
      <c r="N49" s="3">
        <f t="shared" si="0"/>
        <v>-21780.36</v>
      </c>
    </row>
    <row r="50" spans="1:14" x14ac:dyDescent="0.25">
      <c r="A50" t="s">
        <v>134</v>
      </c>
      <c r="B50" s="7" t="s">
        <v>133</v>
      </c>
      <c r="C50" t="s">
        <v>108</v>
      </c>
      <c r="D50" t="s">
        <v>109</v>
      </c>
      <c r="E50" t="s">
        <v>22</v>
      </c>
      <c r="F50" s="5" t="s">
        <v>147</v>
      </c>
      <c r="G50" t="s">
        <v>148</v>
      </c>
      <c r="H50">
        <v>1</v>
      </c>
      <c r="I50">
        <v>31226.6</v>
      </c>
      <c r="J50">
        <v>31226.6</v>
      </c>
      <c r="K50">
        <v>0</v>
      </c>
      <c r="L50">
        <v>0</v>
      </c>
      <c r="M50">
        <v>1561.33</v>
      </c>
      <c r="N50" s="3">
        <f t="shared" si="0"/>
        <v>32787.93</v>
      </c>
    </row>
    <row r="51" spans="1:14" x14ac:dyDescent="0.25">
      <c r="A51" t="s">
        <v>135</v>
      </c>
      <c r="B51" s="7" t="s">
        <v>83</v>
      </c>
      <c r="C51" t="s">
        <v>42</v>
      </c>
      <c r="D51" t="s">
        <v>43</v>
      </c>
      <c r="E51" t="s">
        <v>22</v>
      </c>
      <c r="F51" s="5" t="s">
        <v>147</v>
      </c>
      <c r="G51" t="s">
        <v>148</v>
      </c>
      <c r="H51">
        <v>1</v>
      </c>
      <c r="I51">
        <v>20460</v>
      </c>
      <c r="J51">
        <v>20460</v>
      </c>
      <c r="K51">
        <v>0</v>
      </c>
      <c r="L51">
        <v>0</v>
      </c>
      <c r="M51">
        <v>1023</v>
      </c>
      <c r="N51" s="3">
        <f t="shared" si="0"/>
        <v>21483</v>
      </c>
    </row>
    <row r="52" spans="1:14" x14ac:dyDescent="0.25">
      <c r="A52" t="s">
        <v>136</v>
      </c>
      <c r="B52" s="7" t="s">
        <v>53</v>
      </c>
      <c r="C52" t="s">
        <v>137</v>
      </c>
      <c r="D52" t="s">
        <v>138</v>
      </c>
      <c r="E52" t="s">
        <v>22</v>
      </c>
      <c r="F52" s="5" t="s">
        <v>147</v>
      </c>
      <c r="G52" t="s">
        <v>148</v>
      </c>
      <c r="H52">
        <v>1</v>
      </c>
      <c r="I52">
        <v>18760</v>
      </c>
      <c r="J52">
        <v>18760</v>
      </c>
      <c r="K52">
        <v>0</v>
      </c>
      <c r="L52">
        <v>0</v>
      </c>
      <c r="M52">
        <v>938</v>
      </c>
      <c r="N52" s="3">
        <f t="shared" si="0"/>
        <v>19698</v>
      </c>
    </row>
    <row r="53" spans="1:14" x14ac:dyDescent="0.25">
      <c r="A53" t="s">
        <v>139</v>
      </c>
      <c r="B53" s="7" t="s">
        <v>61</v>
      </c>
      <c r="C53" t="s">
        <v>31</v>
      </c>
      <c r="D53" t="s">
        <v>32</v>
      </c>
      <c r="E53" t="s">
        <v>18</v>
      </c>
      <c r="F53" s="5" t="s">
        <v>147</v>
      </c>
      <c r="G53" t="s">
        <v>148</v>
      </c>
      <c r="H53">
        <v>1</v>
      </c>
      <c r="I53">
        <v>2000</v>
      </c>
      <c r="J53">
        <v>2000</v>
      </c>
      <c r="K53">
        <v>50</v>
      </c>
      <c r="L53">
        <v>50</v>
      </c>
      <c r="M53">
        <v>0</v>
      </c>
      <c r="N53" s="3">
        <f t="shared" si="0"/>
        <v>2100</v>
      </c>
    </row>
    <row r="54" spans="1:14" x14ac:dyDescent="0.25">
      <c r="A54" t="s">
        <v>140</v>
      </c>
      <c r="B54" s="7" t="s">
        <v>61</v>
      </c>
      <c r="C54" t="s">
        <v>141</v>
      </c>
      <c r="D54" t="s">
        <v>142</v>
      </c>
      <c r="E54" t="s">
        <v>22</v>
      </c>
      <c r="F54" s="5" t="s">
        <v>147</v>
      </c>
      <c r="G54" t="s">
        <v>148</v>
      </c>
      <c r="H54">
        <v>1</v>
      </c>
      <c r="I54">
        <v>1800</v>
      </c>
      <c r="J54">
        <v>1800</v>
      </c>
      <c r="K54">
        <v>0</v>
      </c>
      <c r="L54">
        <v>0</v>
      </c>
      <c r="M54">
        <v>90</v>
      </c>
      <c r="N54" s="3">
        <f t="shared" si="0"/>
        <v>1890</v>
      </c>
    </row>
    <row r="55" spans="1:14" x14ac:dyDescent="0.25">
      <c r="A55" t="s">
        <v>143</v>
      </c>
      <c r="B55" s="7" t="s">
        <v>103</v>
      </c>
      <c r="C55" t="s">
        <v>66</v>
      </c>
      <c r="D55" t="s">
        <v>67</v>
      </c>
      <c r="E55" t="s">
        <v>18</v>
      </c>
      <c r="F55" s="5" t="s">
        <v>147</v>
      </c>
      <c r="G55" t="s">
        <v>148</v>
      </c>
      <c r="H55">
        <v>1</v>
      </c>
      <c r="I55">
        <v>1297</v>
      </c>
      <c r="J55">
        <v>1297</v>
      </c>
      <c r="K55">
        <v>32.43</v>
      </c>
      <c r="L55">
        <v>32.43</v>
      </c>
      <c r="M55">
        <v>0</v>
      </c>
      <c r="N55" s="3">
        <f t="shared" si="0"/>
        <v>1361.8600000000001</v>
      </c>
    </row>
    <row r="56" spans="1:14" x14ac:dyDescent="0.25">
      <c r="A56" t="s">
        <v>144</v>
      </c>
      <c r="B56" s="7" t="s">
        <v>103</v>
      </c>
      <c r="C56" t="s">
        <v>145</v>
      </c>
      <c r="D56" t="s">
        <v>146</v>
      </c>
      <c r="E56" t="s">
        <v>22</v>
      </c>
      <c r="F56" s="5" t="s">
        <v>147</v>
      </c>
      <c r="G56" t="s">
        <v>148</v>
      </c>
      <c r="H56">
        <v>1</v>
      </c>
      <c r="I56">
        <v>2250</v>
      </c>
      <c r="J56">
        <v>2250</v>
      </c>
      <c r="K56">
        <v>0</v>
      </c>
      <c r="L56">
        <v>0</v>
      </c>
      <c r="M56">
        <v>113</v>
      </c>
      <c r="N56" s="3">
        <f t="shared" si="0"/>
        <v>2363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2026-03-07T10:14:59Z</dcterms:modified>
</cp:coreProperties>
</file>